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Лист1" r:id="rId1" sheetId="1" state="visible"/>
    <sheet name="Лист2" r:id="rId2" sheetId="2" state="visible"/>
    <sheet name="Лист3" r:id="rId3" sheetId="3" state="visible"/>
    <sheet name="Лист4" r:id="rId4" sheetId="4" state="visible"/>
    <sheet name="Лист5" r:id="rId5" sheetId="5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<sst xmlns="http://schemas.openxmlformats.org/spreadsheetml/2006/main" xmlns:a="http://schemas.openxmlformats.org/drawingml/2006/main" xmlns:a15="http://schemas.microsoft.com/office/drawing/2012/main" xmlns:asvg="http://schemas.microsoft.com/office/drawing/2016/SVG/main" xmlns:c="http://schemas.openxmlformats.org/drawingml/2006/chart" xmlns:co="http://ncloudtech.com" xmlns:co-ooxml="http://ncloudtech.com/ooxml" xmlns:m="http://schemas.openxmlformats.org/officeDocument/2006/math" xmlns:mc="http://schemas.openxmlformats.org/markup-compatibility/2006" xmlns:o="urn:schemas-microsoft-com:office:office" xmlns:p="http://schemas.openxmlformats.org/presentationml/2006/main" xmlns:pic="http://schemas.openxmlformats.org/drawingml/2006/picture" xmlns:r="http://schemas.openxmlformats.org/officeDocument/2006/relationships" xmlns:s="http://schemas.openxmlformats.org/officeDocument/2006/sharedTypes" xmlns:sl="http://schemas.openxmlformats.org/schemaLibrary/2006/main" xmlns:v="urn:schemas-microsoft-com:vml" xmlns:w="http://schemas.openxmlformats.org/wordprocessingml/2006/main" xmlns:w10="urn:schemas-microsoft-com:office:word" xmlns:w14="http://schemas.microsoft.com/office/word/2010/wordml" xmlns:w15="http://schemas.microsoft.com/office/word/2012/wordml" xmlns:wp="http://schemas.openxmlformats.org/drawingml/2006/wordprocessingDrawing" xmlns:wpg="http://schemas.microsoft.com/office/word/2010/wordprocessingGroup" xmlns:wps="http://schemas.microsoft.com/office/word/2010/wordprocessingShape" xmlns:x="urn:schemas-microsoft-com:office:excel" xmlns:x12ac="http://schemas.microsoft.com/office/spreadsheetml/2011/1/ac" xmlns:x14="http://schemas.microsoft.com/office/spreadsheetml/2009/9/main" xmlns:xdr="http://schemas.openxmlformats.org/drawingml/2006/spreadsheetDrawing" xmlns:xm="http://schemas.microsoft.com/office/excel/2006/main" mc:Ignorable="co co-ooxml w14 x14 w15">
  <si>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t>Максимальный показатель</t>
  </si>
  <si>
    <t>Сумма</t>
  </si>
  <si>
    <t>Сумма для 2</t>
  </si>
  <si>
    <t>Сумма для 3</t>
  </si>
  <si>
    <r>
      <t xml:space="preserve">
</t>
    </r>
  </si>
  <si>
    <t>Статистическая функция</t>
  </si>
  <si>
    <t>Для А (лист 3)</t>
  </si>
  <si>
    <t>Для В (лист 3)</t>
  </si>
  <si>
    <t>Для С (лист3)</t>
  </si>
  <si>
    <t>Среднее значение</t>
  </si>
  <si>
    <t>Минимальное значение</t>
  </si>
  <si>
    <t>Максимальное значение</t>
  </si>
  <si>
    <t>Медиана</t>
  </si>
  <si>
    <t>Мода</t>
  </si>
  <si>
    <t>Дисперсия</t>
  </si>
  <si>
    <t>Колледж 1</t>
  </si>
  <si>
    <t>Колледж 2</t>
  </si>
  <si>
    <t>Колледж 3</t>
  </si>
  <si>
    <t>Колледж 4</t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</si>
</sst>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onts count="3">
    <font>
      <name val="Calibri"/>
      <sz val="11"/>
    </font>
    <font>
      <name val="XO Thames"/>
      <sz val="12"/>
    </font>
    <font>
      <name val="Liberation Sans"/>
      <sz val="8"/>
    </font>
  </fonts>
  <fills count="2">
    <fill>
      <patternFill patternType="none"/>
    </fill>
    <fill>
      <patternFill patternType="gray125"/>
    </fill>
  </fills>
  <borders count="3">
    <border>
      <left style="none"/>
      <right style="none"/>
      <top style="none"/>
      <bottom style="none"/>
      <diagonal style="none"/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</borders>
  <cellStyleXfs count="1">
    <xf applyBorder="false" applyFill="false" applyFont="true" borderId="0" fillId="0" fontId="1" numFmtId="0" quotePrefix="false"/>
  </cellStyleXfs>
  <cellXfs count="4">
    <xf applyBorder="false" applyFill="false" applyFont="true" borderId="0" fillId="0" fontId="1" numFmtId="0" quotePrefix="false"/>
    <xf applyAlignment="true" applyBorder="true" applyFill="false" applyFont="true" borderId="1" fillId="0" fontId="2" numFmtId="0" quotePrefix="false">
      <alignment horizontal="left" indent="1" vertical="center"/>
    </xf>
    <xf applyAlignment="true" applyBorder="true" applyFill="false" applyFont="true" borderId="1" fillId="0" fontId="2" numFmtId="0" quotePrefix="false">
      <alignment horizontal="right" indent="1" vertical="center"/>
    </xf>
    <xf applyAlignment="true" applyBorder="true" applyFill="false" applyFont="true" applyNumberFormat="true" borderId="2" fillId="0" fontId="2" numFmtId="16" quotePrefix="false">
      <alignment horizontal="left" indent="1" vertical="center"/>
    </xf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6" Target="sharedStrings.xml" Type="http://schemas.openxmlformats.org/officeDocument/2006/relationships/sharedStrings"/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worksheets/sheet3.xml" Type="http://schemas.openxmlformats.org/officeDocument/2006/relationships/worksheet"/>
  <Relationship Id="rId8" Target="theme/theme1.xml" Type="http://schemas.openxmlformats.org/officeDocument/2006/relationships/theme"/>
  <Relationship Id="rId4" Target="worksheets/sheet4.xml" Type="http://schemas.openxmlformats.org/officeDocument/2006/relationships/worksheet"/>
  <Relationship Id="rId7" Target="styles.xml" Type="http://schemas.openxmlformats.org/officeDocument/2006/relationships/styles"/>
  <Relationship Id="rId5" Target="worksheets/sheet5.xml" Type="http://schemas.openxmlformats.org/officeDocument/2006/relationships/worksheet"/>
</Relationships>

</file>

<file path=xl/charts/chart1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/>
    <c:autoTitleDeleted val="false"/>
    <c:plotArea>
      <c:lineChart>
        <c:grouping val="standard"/>
        <c:ser>
          <c:idx val="0"/>
          <c:order val="0"/>
          <c:tx>
            <c:strRef>
              <c:f>'Лист5'!A1</c:f>
            </c:strRef>
          </c:tx>
          <c:spPr>
            <a:ln w="38100">
              <a:solidFill>
                <a:schemeClr val="accent1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1">
                  <a:lumMod val="100000"/>
                  <a:lumOff val="0"/>
                </a:schemeClr>
              </a:solidFill>
              <a:ln>
                <a:solidFill>
                  <a:schemeClr val="accent1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'Лист5'!B1:H1</c:f>
            </c:numRef>
          </c:val>
          <c:smooth val="false"/>
        </c:ser>
        <c:ser>
          <c:idx val="1"/>
          <c:order val="1"/>
          <c:tx>
            <c:strRef>
              <c:f>'Лист5'!A2</c:f>
            </c:strRef>
          </c:tx>
          <c:spPr>
            <a:ln w="38100">
              <a:solidFill>
                <a:schemeClr val="accent2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2">
                  <a:lumMod val="100000"/>
                  <a:lumOff val="0"/>
                </a:schemeClr>
              </a:solidFill>
              <a:ln>
                <a:solidFill>
                  <a:schemeClr val="accent2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'Лист5'!B2:H2</c:f>
            </c:numRef>
          </c:val>
          <c:smooth val="false"/>
        </c:ser>
        <c:ser>
          <c:idx val="2"/>
          <c:order val="2"/>
          <c:tx>
            <c:strRef>
              <c:f>'Лист5'!A3</c:f>
            </c:strRef>
          </c:tx>
          <c:spPr>
            <a:ln w="38100">
              <a:solidFill>
                <a:schemeClr val="accent3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3">
                  <a:lumMod val="100000"/>
                  <a:lumOff val="0"/>
                </a:schemeClr>
              </a:solidFill>
              <a:ln>
                <a:solidFill>
                  <a:schemeClr val="accent3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'Лист5'!B3:H3</c:f>
            </c:numRef>
          </c:val>
          <c:smooth val="false"/>
        </c:ser>
        <c:ser>
          <c:idx val="3"/>
          <c:order val="3"/>
          <c:tx>
            <c:strRef>
              <c:f>'Лист5'!A4</c:f>
            </c:strRef>
          </c:tx>
          <c:spPr>
            <a:ln w="38100">
              <a:solidFill>
                <a:schemeClr val="accent4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4">
                  <a:lumMod val="100000"/>
                  <a:lumOff val="0"/>
                </a:schemeClr>
              </a:solidFill>
              <a:ln>
                <a:solidFill>
                  <a:schemeClr val="accent4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'Лист5'!B4:H4</c:f>
            </c:numRef>
          </c:val>
          <c:smooth val="false"/>
        </c:ser>
        <c:ser>
          <c:idx val="4"/>
          <c:order val="4"/>
          <c:tx>
            <c:strRef>
              <c:f>'Лист5'!A5</c:f>
            </c:strRef>
          </c:tx>
          <c:spPr>
            <a:ln w="38100">
              <a:solidFill>
                <a:schemeClr val="accent5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5">
                  <a:lumMod val="100000"/>
                  <a:lumOff val="0"/>
                </a:schemeClr>
              </a:solidFill>
              <a:ln>
                <a:solidFill>
                  <a:schemeClr val="accent5">
                    <a:lumMod val="100000"/>
                    <a:lumOff val="0"/>
                  </a:schemeClr>
                </a:solidFill>
              </a:ln>
            </c:spPr>
          </c:marker>
          <c:val>
            <c:numRef>
              <c:f>'Лист5'!B5:H5</c:f>
            </c:numRef>
          </c:val>
          <c:smooth val="false"/>
        </c:ser>
        <c:marker val="true"/>
        <c:smooth val="false"/>
        <c:axId val="1"/>
        <c:axId val="2"/>
      </c:lineChart>
      <c:valAx>
        <c:axId val="2"/>
        <c:scaling>
          <c:orientation val="minMax"/>
        </c:scaling>
        <c:delete val="false"/>
        <c:axPos val="l"/>
        <c:majorGridlines>
          <c:spPr>
            <a:ln w="12700">
              <a:solidFill>
                <a:srgbClr val="D9D9D9"/>
              </a:solidFill>
            </a:ln>
          </c:spPr>
        </c:majorGridlines>
        <c:majorTickMark val="out"/>
        <c:minorTickMark val="none"/>
        <c:tickLblPos val="nextTo"/>
        <c:crossAx val="1"/>
      </c:valAx>
      <c:catAx>
        <c:axId val="1"/>
        <c:scaling>
          <c:orientation val="minMax"/>
        </c:scaling>
        <c:delete val="false"/>
        <c:axPos val="b"/>
        <c:majorTickMark val="out"/>
        <c:minorTickMark val="none"/>
        <c:tickLblPos val="nextTo"/>
        <c:crossAx val="2"/>
      </c:catAx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drawings/_rels/drawing1.xml.rels><?xml version="1.0" encoding="UTF-8" standalone="no" ?>
<Relationships xmlns="http://schemas.openxmlformats.org/package/2006/relationships">
  <Relationship Id="rId1" Target="../charts/chart1.xml" Type="http://schemas.openxmlformats.org/officeDocument/2006/relationships/chart"/>
</Relationships>

</file>

<file path=xl/drawings/drawing1.xml><?xml version="1.0" encoding="utf-8"?>
<xdr:wsDr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xdr:absoluteAnchor>
    <xdr:pos x="876299" y="1685924"/>
    <xdr:ext cx="4635500" cy="3429000"/>
    <xdr:graphicFrame>
      <xdr:nvGraphicFramePr>
        <xdr:cNvPr hidden="false" id="1" name="Chart 1"/>
        <xdr:cNvGraphicFramePr/>
      </xdr:nvGraphicFramePr>
      <xdr:xfrm flipH="false" flipV="false" rot="0"/>
      <a:graphic>
        <a:graphicData uri="http://schemas.openxmlformats.org/drawingml/2006/chart">
          <c:chart r:id="rId1"/>
        </a:graphicData>
      </a:graphic>
    </xdr:graphicFrame>
    <xdr:clientData fLocksWithSheet="true"/>
  </xdr:absoluteAnchor>
</xdr:wsDr>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/>
        <a:ea typeface=""/>
        <a:cs typeface=""/>
      </a:majorFont>
      <a:minorFont>
        <a:latin typeface="XO Thames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63000"/>
                <a:satMod val="300000"/>
              </a:schemeClr>
            </a:gs>
            <a:gs pos="100000">
              <a:schemeClr val="phClr">
                <a:tint val="8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6350">
          <a:solidFill>
            <a:schemeClr val="phClr">
              <a:shade val="95000"/>
              <a:satMod val="105000"/>
            </a:schemeClr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  <a:satMod val="350000"/>
              </a:schemeClr>
            </a:gs>
            <a:gs pos="40000">
              <a:schemeClr val="phClr">
                <a:tint val="5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2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_rels/sheet5.xml.rels><?xml version="1.0" encoding="UTF-8" standalone="no" ?>
<Relationships xmlns="http://schemas.openxmlformats.org/package/2006/relationships">
  <Relationship Id="rId1" Target="../drawings/drawing1.xml" Type="http://schemas.openxmlformats.org/officeDocument/2006/relationships/drawing"/>
</Relationships>
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bestFit="true" customWidth="true" max="16384" min="1" outlineLevel="0" style="0" width="10.788470377394527"/>
  </cols>
  <sheetData>
    <row outlineLevel="0" r="1">
      <c r="A1" s="1" t="s">
        <v>0</v>
      </c>
      <c r="B1" s="1" t="s">
        <v>1</v>
      </c>
    </row>
    <row outlineLevel="0" r="2">
      <c r="A2" s="2" t="n">
        <v>0</v>
      </c>
      <c r="B2" s="1" t="n">
        <f aca="false" ca="false" dt2D="false" dtr="false" t="normal">2^0</f>
        <v>1</v>
      </c>
    </row>
    <row outlineLevel="0" r="3">
      <c r="A3" s="2" t="n">
        <v>1</v>
      </c>
      <c r="B3" s="1" t="n">
        <f aca="false" ca="false" dt2D="false" dtr="false" t="normal">2^1</f>
        <v>2</v>
      </c>
    </row>
    <row outlineLevel="0" r="4">
      <c r="A4" s="2" t="n">
        <v>2</v>
      </c>
      <c r="B4" s="1" t="n">
        <f aca="false" ca="false" dt2D="false" dtr="false" t="normal">2^2</f>
        <v>4</v>
      </c>
    </row>
    <row outlineLevel="0" r="5">
      <c r="A5" s="2" t="n">
        <v>3</v>
      </c>
      <c r="B5" s="1" t="n">
        <f aca="false" ca="false" dt2D="false" dtr="false" t="normal">2^3</f>
        <v>8</v>
      </c>
    </row>
    <row outlineLevel="0" r="6">
      <c r="A6" s="2" t="n">
        <v>4</v>
      </c>
      <c r="B6" s="1" t="n">
        <f aca="false" ca="false" dt2D="false" dtr="false" t="normal">2^4</f>
        <v>16</v>
      </c>
    </row>
    <row outlineLevel="0" r="7">
      <c r="A7" s="2" t="n">
        <v>5</v>
      </c>
      <c r="B7" s="1" t="n">
        <f aca="false" ca="false" dt2D="false" dtr="false" t="normal">2^5</f>
        <v>32</v>
      </c>
    </row>
    <row outlineLevel="0" r="8">
      <c r="A8" s="2" t="n">
        <v>6</v>
      </c>
      <c r="B8" s="1" t="n">
        <f aca="false" ca="false" dt2D="false" dtr="false" t="normal">2^6</f>
        <v>64</v>
      </c>
    </row>
    <row outlineLevel="0" r="9">
      <c r="A9" s="2" t="n">
        <v>7</v>
      </c>
      <c r="B9" s="1" t="n">
        <f aca="false" ca="false" dt2D="false" dtr="false" t="normal">2^7</f>
        <v>128</v>
      </c>
    </row>
    <row outlineLevel="0" r="10">
      <c r="A10" s="2" t="n">
        <v>8</v>
      </c>
      <c r="B10" s="1" t="n">
        <f aca="false" ca="false" dt2D="false" dtr="false" t="normal">2^8</f>
        <v>256</v>
      </c>
    </row>
    <row outlineLevel="0" r="11">
      <c r="A11" s="2" t="n">
        <v>9</v>
      </c>
      <c r="B11" s="1" t="n">
        <f aca="false" ca="false" dt2D="false" dtr="false" t="normal">2^9</f>
        <v>512</v>
      </c>
    </row>
    <row outlineLevel="0" r="12">
      <c r="A12" s="2" t="n">
        <v>10</v>
      </c>
      <c r="B12" s="1" t="n">
        <f aca="false" ca="false" dt2D="false" dtr="false" t="normal">2^10</f>
        <v>1024</v>
      </c>
    </row>
    <row outlineLevel="0" r="13">
      <c r="A13" s="2" t="n">
        <v>11</v>
      </c>
      <c r="B13" s="1" t="n">
        <f aca="false" ca="false" dt2D="false" dtr="false" t="normal">2^11</f>
        <v>2048</v>
      </c>
    </row>
    <row outlineLevel="0" r="14">
      <c r="A14" s="2" t="n">
        <v>12</v>
      </c>
      <c r="B14" s="1" t="n">
        <f aca="false" ca="false" dt2D="false" dtr="false" t="normal">2^12</f>
        <v>4096</v>
      </c>
    </row>
    <row outlineLevel="0" r="15">
      <c r="A15" s="2" t="n">
        <v>13</v>
      </c>
      <c r="B15" s="1" t="n">
        <f aca="false" ca="false" dt2D="false" dtr="false" t="normal">2^13</f>
        <v>8192</v>
      </c>
    </row>
    <row outlineLevel="0" r="16">
      <c r="A16" s="2" t="n">
        <v>14</v>
      </c>
      <c r="B16" s="1" t="n">
        <f aca="false" ca="false" dt2D="false" dtr="false" t="normal">2^14</f>
        <v>16384</v>
      </c>
    </row>
    <row outlineLevel="0" r="17">
      <c r="A17" s="2" t="n">
        <v>15</v>
      </c>
      <c r="B17" s="1" t="n">
        <f aca="false" ca="false" dt2D="false" dtr="false" t="normal">2^15</f>
        <v>32768</v>
      </c>
    </row>
    <row outlineLevel="0" r="18">
      <c r="A18" s="2" t="n">
        <v>16</v>
      </c>
      <c r="B18" s="1" t="n">
        <f aca="false" ca="false" dt2D="false" dtr="false" t="normal">2^16</f>
        <v>65536</v>
      </c>
    </row>
    <row outlineLevel="0" r="19">
      <c r="A19" s="2" t="n">
        <v>17</v>
      </c>
      <c r="B19" s="1" t="n">
        <f aca="false" ca="false" dt2D="false" dtr="false" t="normal">2^17</f>
        <v>131072</v>
      </c>
    </row>
    <row outlineLevel="0" r="20">
      <c r="A20" s="2" t="n">
        <v>18</v>
      </c>
      <c r="B20" s="1" t="n">
        <f aca="false" ca="false" dt2D="false" dtr="false" t="normal">2^18</f>
        <v>262144</v>
      </c>
    </row>
    <row outlineLevel="0" r="21">
      <c r="A21" s="2" t="n">
        <v>19</v>
      </c>
      <c r="B21" s="1" t="n">
        <f aca="false" ca="false" dt2D="false" dtr="false" t="normal">2^19</f>
        <v>524288</v>
      </c>
    </row>
    <row outlineLevel="0" r="22">
      <c r="A22" s="2" t="n">
        <v>20</v>
      </c>
      <c r="B22" s="1" t="n">
        <f aca="false" ca="false" dt2D="false" dtr="false" t="normal">2^20</f>
        <v>1048576</v>
      </c>
    </row>
    <row outlineLevel="0" r="23">
      <c r="A23" s="2" t="n">
        <v>21</v>
      </c>
      <c r="B23" s="1" t="n">
        <f aca="false" ca="false" dt2D="false" dtr="false" t="normal">2^21</f>
        <v>2097152</v>
      </c>
    </row>
    <row outlineLevel="0" r="24">
      <c r="A24" s="2" t="n">
        <v>22</v>
      </c>
      <c r="B24" s="1" t="n">
        <f aca="false" ca="false" dt2D="false" dtr="false" t="normal">2^22</f>
        <v>4194304</v>
      </c>
    </row>
    <row outlineLevel="0" r="25">
      <c r="A25" s="2" t="n">
        <v>23</v>
      </c>
      <c r="B25" s="1" t="n">
        <f aca="false" ca="false" dt2D="false" dtr="false" t="normal">2^23</f>
        <v>8388608</v>
      </c>
    </row>
  </sheetData>
  <pageMargins bottom="0.59055554866790771" footer="0.19680555164813995" header="0.19680555164813995" left="0.59055554866790771" right="0.59055554866790771" top="0.59055554866790771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22.616406040789013"/>
    <col bestFit="true" customWidth="true" max="2" min="2" outlineLevel="0" width="11.519540301051521"/>
  </cols>
  <sheetData>
    <row outlineLevel="0" r="1">
      <c r="A1" s="1" t="s">
        <v>0</v>
      </c>
      <c r="B1" s="1" t="s">
        <v>1</v>
      </c>
    </row>
    <row outlineLevel="0" r="2">
      <c r="A2" s="2" t="n">
        <v>0</v>
      </c>
      <c r="B2" s="1" t="n">
        <f aca="false" ca="false" dt2D="false" dtr="false" t="normal">3^0</f>
        <v>1</v>
      </c>
    </row>
    <row outlineLevel="0" r="3">
      <c r="A3" s="2" t="n">
        <v>1</v>
      </c>
      <c r="B3" s="1" t="n">
        <f aca="false" ca="false" dt2D="false" dtr="false" t="normal">3^1</f>
        <v>3</v>
      </c>
    </row>
    <row outlineLevel="0" r="4">
      <c r="A4" s="2" t="n">
        <v>2</v>
      </c>
      <c r="B4" s="1" t="n">
        <f aca="false" ca="false" dt2D="false" dtr="false" t="normal">3^2</f>
        <v>9</v>
      </c>
    </row>
    <row outlineLevel="0" r="5">
      <c r="A5" s="2" t="n">
        <v>3</v>
      </c>
      <c r="B5" s="1" t="n">
        <f aca="false" ca="false" dt2D="false" dtr="false" t="normal">3^3</f>
        <v>27</v>
      </c>
    </row>
    <row outlineLevel="0" r="6">
      <c r="A6" s="2" t="n">
        <v>4</v>
      </c>
      <c r="B6" s="1" t="n">
        <f aca="false" ca="false" dt2D="false" dtr="false" t="normal">3^4</f>
        <v>81</v>
      </c>
    </row>
    <row outlineLevel="0" r="7">
      <c r="A7" s="2" t="n">
        <v>5</v>
      </c>
      <c r="B7" s="1" t="n">
        <f aca="false" ca="false" dt2D="false" dtr="false" t="normal">3^5</f>
        <v>243</v>
      </c>
    </row>
    <row outlineLevel="0" r="8">
      <c r="A8" s="2" t="n">
        <v>6</v>
      </c>
      <c r="B8" s="1" t="n">
        <f aca="false" ca="false" dt2D="false" dtr="false" t="normal">3^6</f>
        <v>729</v>
      </c>
    </row>
    <row outlineLevel="0" r="9">
      <c r="A9" s="2" t="n">
        <v>7</v>
      </c>
      <c r="B9" s="1" t="n">
        <f aca="false" ca="false" dt2D="false" dtr="false" t="normal">3^7</f>
        <v>2187</v>
      </c>
    </row>
    <row outlineLevel="0" r="10">
      <c r="A10" s="2" t="n">
        <v>8</v>
      </c>
      <c r="B10" s="1" t="n">
        <f aca="false" ca="false" dt2D="false" dtr="false" t="normal">3^8</f>
        <v>6561</v>
      </c>
    </row>
    <row outlineLevel="0" r="11">
      <c r="A11" s="2" t="n">
        <v>9</v>
      </c>
      <c r="B11" s="1" t="n">
        <f aca="false" ca="false" dt2D="false" dtr="false" t="normal">3^9</f>
        <v>19683</v>
      </c>
    </row>
    <row outlineLevel="0" r="12">
      <c r="A12" s="2" t="n">
        <v>10</v>
      </c>
      <c r="B12" s="1" t="n">
        <f aca="false" ca="false" dt2D="false" dtr="false" t="normal">3^10</f>
        <v>59049</v>
      </c>
    </row>
    <row outlineLevel="0" r="13">
      <c r="A13" s="2" t="n">
        <v>11</v>
      </c>
      <c r="B13" s="1" t="n">
        <f aca="false" ca="false" dt2D="false" dtr="false" t="normal">3^11</f>
        <v>177147</v>
      </c>
    </row>
    <row outlineLevel="0" r="14">
      <c r="A14" s="2" t="n">
        <v>12</v>
      </c>
      <c r="B14" s="1" t="n">
        <f aca="false" ca="false" dt2D="false" dtr="false" t="normal">3^12</f>
        <v>531441</v>
      </c>
    </row>
    <row outlineLevel="0" r="15">
      <c r="A15" s="2" t="n">
        <v>13</v>
      </c>
      <c r="B15" s="1" t="n">
        <f aca="false" ca="false" dt2D="false" dtr="false" t="normal">3^13</f>
        <v>1594323</v>
      </c>
    </row>
    <row outlineLevel="0" r="16">
      <c r="A16" s="2" t="n">
        <v>14</v>
      </c>
      <c r="B16" s="1" t="n">
        <f aca="false" ca="false" dt2D="false" dtr="false" t="normal">3^14</f>
        <v>4782969</v>
      </c>
    </row>
    <row outlineLevel="0" r="17">
      <c r="A17" s="2" t="n">
        <v>15</v>
      </c>
      <c r="B17" s="1" t="n">
        <f aca="false" ca="false" dt2D="false" dtr="false" t="normal">3^15</f>
        <v>14348907</v>
      </c>
    </row>
    <row outlineLevel="0" r="18">
      <c r="A18" s="2" t="n">
        <v>16</v>
      </c>
      <c r="B18" s="1" t="n">
        <f aca="false" ca="false" dt2D="false" dtr="false" t="normal">3^16</f>
        <v>43046721</v>
      </c>
    </row>
    <row outlineLevel="0" r="19">
      <c r="A19" s="2" t="n">
        <v>17</v>
      </c>
      <c r="B19" s="1" t="n">
        <f aca="false" ca="false" dt2D="false" dtr="false" t="normal">3^17</f>
        <v>129140163</v>
      </c>
    </row>
    <row outlineLevel="0" r="20">
      <c r="A20" s="2" t="n">
        <v>18</v>
      </c>
      <c r="B20" s="1" t="n">
        <f aca="false" ca="false" dt2D="false" dtr="false" t="normal">3^18</f>
        <v>387420489</v>
      </c>
    </row>
    <row outlineLevel="0" r="21">
      <c r="A21" s="2" t="n">
        <v>19</v>
      </c>
      <c r="B21" s="1" t="n">
        <f aca="false" ca="false" dt2D="false" dtr="false" t="normal">3^19</f>
        <v>1162261467</v>
      </c>
    </row>
    <row outlineLevel="0" r="22">
      <c r="A22" s="2" t="n">
        <v>20</v>
      </c>
      <c r="B22" s="1" t="n">
        <f aca="false" ca="false" dt2D="false" dtr="false" t="normal">3^20</f>
        <v>3486784401</v>
      </c>
    </row>
    <row outlineLevel="0" r="23">
      <c r="A23" s="2" t="n">
        <v>21</v>
      </c>
      <c r="B23" s="1" t="n">
        <f aca="false" ca="false" dt2D="false" dtr="false" t="normal">3^21</f>
        <v>10460353203</v>
      </c>
    </row>
    <row outlineLevel="0" r="24">
      <c r="A24" s="2" t="n">
        <v>22</v>
      </c>
      <c r="B24" s="1" t="n">
        <f aca="false" ca="false" dt2D="false" dtr="false" t="normal">3^22</f>
        <v>31381059609</v>
      </c>
    </row>
    <row outlineLevel="0" r="25">
      <c r="A25" s="2" t="n">
        <v>23</v>
      </c>
      <c r="B25" s="1" t="n">
        <f aca="false" ca="false" dt2D="false" dtr="false" t="normal">3^23</f>
        <v>94143178827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3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2" min="1" outlineLevel="0" width="16.496673262456088"/>
  </cols>
  <sheetData>
    <row outlineLevel="0" r="1">
      <c r="A1" s="1" t="s">
        <v>0</v>
      </c>
      <c r="B1" s="1" t="s">
        <v>2</v>
      </c>
      <c r="C1" s="1" t="s">
        <v>3</v>
      </c>
    </row>
    <row outlineLevel="0" r="2">
      <c r="A2" s="2" t="n">
        <v>0</v>
      </c>
      <c r="B2" s="1" t="s">
        <v>4</v>
      </c>
      <c r="C2" s="1" t="s">
        <v>4</v>
      </c>
    </row>
    <row outlineLevel="0" r="3">
      <c r="A3" s="2" t="n">
        <v>1</v>
      </c>
      <c r="B3" s="1" t="s">
        <v>4</v>
      </c>
      <c r="C3" s="1" t="s">
        <v>4</v>
      </c>
    </row>
    <row outlineLevel="0" r="4">
      <c r="A4" s="2" t="n">
        <v>2</v>
      </c>
      <c r="B4" s="1" t="s">
        <v>4</v>
      </c>
      <c r="C4" s="1" t="s">
        <v>4</v>
      </c>
    </row>
    <row outlineLevel="0" r="5">
      <c r="A5" s="2" t="n">
        <v>3</v>
      </c>
      <c r="B5" s="1" t="s">
        <v>4</v>
      </c>
      <c r="C5" s="1" t="s">
        <v>4</v>
      </c>
    </row>
    <row outlineLevel="0" r="6">
      <c r="A6" s="2" t="n">
        <v>4</v>
      </c>
      <c r="B6" s="1" t="s">
        <v>4</v>
      </c>
      <c r="C6" s="1" t="s">
        <v>4</v>
      </c>
    </row>
    <row outlineLevel="0" r="7">
      <c r="A7" s="2" t="n">
        <v>5</v>
      </c>
      <c r="B7" s="1" t="s">
        <v>4</v>
      </c>
      <c r="C7" s="1" t="s">
        <v>4</v>
      </c>
    </row>
    <row outlineLevel="0" r="8">
      <c r="A8" s="2" t="n">
        <v>6</v>
      </c>
      <c r="B8" s="1" t="s">
        <v>4</v>
      </c>
      <c r="C8" s="1" t="s">
        <v>4</v>
      </c>
    </row>
    <row outlineLevel="0" r="9">
      <c r="A9" s="2" t="n">
        <v>7</v>
      </c>
      <c r="B9" s="1" t="s">
        <v>4</v>
      </c>
      <c r="C9" s="1" t="s">
        <v>4</v>
      </c>
    </row>
    <row outlineLevel="0" r="10">
      <c r="A10" s="2" t="n">
        <v>8</v>
      </c>
      <c r="B10" s="1" t="s">
        <v>4</v>
      </c>
      <c r="C10" s="1" t="s">
        <v>4</v>
      </c>
    </row>
    <row outlineLevel="0" r="11">
      <c r="A11" s="2" t="n">
        <v>9</v>
      </c>
      <c r="B11" s="1" t="s">
        <v>4</v>
      </c>
      <c r="C11" s="1" t="s">
        <v>4</v>
      </c>
    </row>
    <row outlineLevel="0" r="12">
      <c r="A12" s="2" t="n">
        <v>10</v>
      </c>
      <c r="B12" s="1" t="s">
        <v>4</v>
      </c>
      <c r="C12" s="1" t="s">
        <v>4</v>
      </c>
    </row>
    <row outlineLevel="0" r="13">
      <c r="A13" s="2" t="n">
        <v>11</v>
      </c>
      <c r="B13" s="1" t="s">
        <v>4</v>
      </c>
      <c r="C13" s="1" t="s">
        <v>4</v>
      </c>
    </row>
    <row outlineLevel="0" r="14">
      <c r="A14" s="2" t="n">
        <v>12</v>
      </c>
      <c r="B14" s="1" t="s">
        <v>4</v>
      </c>
      <c r="C14" s="1" t="s">
        <v>4</v>
      </c>
    </row>
    <row outlineLevel="0" r="15">
      <c r="A15" s="2" t="n">
        <v>13</v>
      </c>
      <c r="B15" s="1" t="s">
        <v>4</v>
      </c>
      <c r="C15" s="1" t="s">
        <v>4</v>
      </c>
    </row>
    <row outlineLevel="0" r="16">
      <c r="A16" s="2" t="n">
        <v>14</v>
      </c>
      <c r="B16" s="1" t="s">
        <v>4</v>
      </c>
      <c r="C16" s="1" t="s">
        <v>4</v>
      </c>
    </row>
    <row outlineLevel="0" r="17">
      <c r="A17" s="2" t="n">
        <v>15</v>
      </c>
      <c r="B17" s="1" t="s">
        <v>4</v>
      </c>
      <c r="C17" s="1" t="s">
        <v>4</v>
      </c>
    </row>
    <row outlineLevel="0" r="18">
      <c r="A18" s="2" t="n">
        <v>16</v>
      </c>
      <c r="B18" s="1" t="s">
        <v>4</v>
      </c>
      <c r="C18" s="1" t="s">
        <v>4</v>
      </c>
    </row>
    <row outlineLevel="0" r="19">
      <c r="A19" s="2" t="n">
        <v>17</v>
      </c>
      <c r="B19" s="1" t="s">
        <v>4</v>
      </c>
      <c r="C19" s="1" t="s">
        <v>4</v>
      </c>
    </row>
    <row outlineLevel="0" r="20">
      <c r="A20" s="2" t="n">
        <v>18</v>
      </c>
      <c r="B20" s="1" t="s">
        <v>4</v>
      </c>
      <c r="C20" s="1" t="s">
        <v>4</v>
      </c>
    </row>
    <row outlineLevel="0" r="21">
      <c r="A21" s="2" t="n">
        <v>19</v>
      </c>
      <c r="B21" s="1" t="s">
        <v>4</v>
      </c>
      <c r="C21" s="1" t="s">
        <v>4</v>
      </c>
    </row>
    <row outlineLevel="0" r="22">
      <c r="A22" s="2" t="n">
        <v>20</v>
      </c>
      <c r="B22" s="1" t="s">
        <v>4</v>
      </c>
      <c r="C22" s="1" t="s">
        <v>4</v>
      </c>
    </row>
    <row outlineLevel="0" r="23">
      <c r="A23" s="2" t="n">
        <v>21</v>
      </c>
      <c r="B23" s="1" t="s">
        <v>4</v>
      </c>
      <c r="C23" s="1" t="s">
        <v>4</v>
      </c>
    </row>
    <row outlineLevel="0" r="24">
      <c r="A24" s="2" t="n">
        <v>22</v>
      </c>
      <c r="B24" s="1" t="s">
        <v>4</v>
      </c>
      <c r="C24" s="1" t="s">
        <v>4</v>
      </c>
    </row>
    <row outlineLevel="0" r="25">
      <c r="A25" s="2" t="n">
        <v>23</v>
      </c>
      <c r="B25" s="1" t="s">
        <v>4</v>
      </c>
      <c r="C25" s="1" t="s">
        <v>4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4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19.689576673472221"/>
  </cols>
  <sheetData>
    <row outlineLevel="0" r="1">
      <c r="A1" s="1" t="s">
        <v>5</v>
      </c>
      <c r="B1" s="1" t="s">
        <v>6</v>
      </c>
      <c r="C1" s="1" t="s">
        <v>7</v>
      </c>
      <c r="D1" s="1" t="s">
        <v>8</v>
      </c>
    </row>
    <row outlineLevel="0" r="2">
      <c r="A2" s="1" t="s">
        <v>9</v>
      </c>
      <c r="B2" s="3" t="n">
        <v>46153</v>
      </c>
      <c r="C2" s="1" t="s">
        <v>4</v>
      </c>
      <c r="D2" s="1" t="s">
        <v>4</v>
      </c>
    </row>
    <row outlineLevel="0" r="3">
      <c r="A3" s="1" t="s">
        <v>10</v>
      </c>
      <c r="B3" s="1" t="s">
        <v>4</v>
      </c>
      <c r="C3" s="1" t="s">
        <v>4</v>
      </c>
      <c r="D3" s="1" t="s">
        <v>4</v>
      </c>
    </row>
    <row outlineLevel="0" r="4">
      <c r="A4" s="1" t="s">
        <v>11</v>
      </c>
      <c r="B4" s="1" t="s">
        <v>4</v>
      </c>
      <c r="C4" s="1" t="s">
        <v>4</v>
      </c>
      <c r="D4" s="1" t="s">
        <v>4</v>
      </c>
    </row>
    <row outlineLevel="0" r="5">
      <c r="A5" s="1" t="s">
        <v>12</v>
      </c>
      <c r="B5" s="1" t="s">
        <v>4</v>
      </c>
      <c r="C5" s="1" t="s">
        <v>4</v>
      </c>
      <c r="D5" s="1" t="s">
        <v>4</v>
      </c>
    </row>
    <row outlineLevel="0" r="6">
      <c r="A6" s="1" t="s">
        <v>13</v>
      </c>
      <c r="B6" s="1" t="s">
        <v>4</v>
      </c>
      <c r="C6" s="1" t="s">
        <v>4</v>
      </c>
      <c r="D6" s="1" t="s">
        <v>4</v>
      </c>
    </row>
    <row outlineLevel="0" r="7">
      <c r="A7" s="1" t="s">
        <v>14</v>
      </c>
      <c r="B7" s="1" t="s">
        <v>4</v>
      </c>
      <c r="C7" s="1" t="s">
        <v>4</v>
      </c>
      <c r="D7" s="1" t="s">
        <v>4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5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sheetData>
    <row outlineLevel="0" r="1">
      <c r="A1" s="1" t="s">
        <v>4</v>
      </c>
      <c r="B1" s="2" t="n">
        <v>2021</v>
      </c>
      <c r="C1" s="2" t="n">
        <v>2022</v>
      </c>
      <c r="D1" s="2" t="n">
        <v>2023</v>
      </c>
      <c r="E1" s="2" t="n">
        <v>2024</v>
      </c>
      <c r="F1" s="2" t="n">
        <v>2025</v>
      </c>
      <c r="G1" s="2" t="n">
        <v>2026</v>
      </c>
      <c r="H1" s="2" t="n">
        <v>2027</v>
      </c>
    </row>
    <row outlineLevel="0" r="2">
      <c r="A2" s="1" t="s">
        <v>15</v>
      </c>
      <c r="B2" s="2" t="n">
        <v>1510000</v>
      </c>
      <c r="C2" s="2" t="n">
        <v>2236476</v>
      </c>
      <c r="D2" s="2" t="n">
        <v>1934765</v>
      </c>
      <c r="E2" s="2" t="n">
        <v>4543534</v>
      </c>
      <c r="F2" s="2" t="n">
        <v>2348887</v>
      </c>
      <c r="G2" s="2" t="n">
        <v>1170004</v>
      </c>
      <c r="H2" s="2" t="n">
        <v>2344598</v>
      </c>
    </row>
    <row outlineLevel="0" r="3">
      <c r="A3" s="1" t="s">
        <v>16</v>
      </c>
      <c r="B3" s="2" t="n">
        <v>237800</v>
      </c>
      <c r="C3" s="2" t="n">
        <v>732647</v>
      </c>
      <c r="D3" s="2" t="n">
        <v>567672</v>
      </c>
      <c r="E3" s="2" t="n">
        <v>234234</v>
      </c>
      <c r="F3" s="2" t="n">
        <v>323217</v>
      </c>
      <c r="G3" s="2" t="n">
        <v>634423</v>
      </c>
      <c r="H3" s="2" t="n">
        <v>235455</v>
      </c>
    </row>
    <row outlineLevel="0" r="4">
      <c r="A4" s="1" t="s">
        <v>17</v>
      </c>
      <c r="B4" s="2" t="n">
        <v>3211400</v>
      </c>
      <c r="C4" s="2" t="n">
        <v>4873837</v>
      </c>
      <c r="D4" s="2" t="n">
        <v>3654654</v>
      </c>
      <c r="E4" s="2" t="n">
        <v>3453453</v>
      </c>
      <c r="F4" s="2" t="n">
        <v>5436323</v>
      </c>
      <c r="G4" s="2" t="n">
        <v>4586959</v>
      </c>
      <c r="H4" s="2" t="n">
        <v>8576885</v>
      </c>
    </row>
    <row outlineLevel="0" r="5">
      <c r="A5" s="1" t="s">
        <v>18</v>
      </c>
      <c r="B5" s="2" t="n">
        <v>4961201</v>
      </c>
      <c r="C5" s="2" t="n">
        <v>7844962</v>
      </c>
      <c r="D5" s="2" t="n">
        <v>6159094</v>
      </c>
      <c r="E5" s="2" t="n">
        <v>8233225</v>
      </c>
      <c r="F5" s="2" t="n">
        <v>8109432</v>
      </c>
      <c r="G5" s="2" t="n">
        <v>6393392</v>
      </c>
      <c r="H5" s="2" t="n">
        <v>11158945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  <drawing r:id="rId1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MyOffice-CoreFramework-Linux/38-1384.1107.10199.1019.1@18975027e3ee4b688e27426d4a78178cb841a344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2026-05-21T10:26:52Z</dcterms:created>
  <dcterms:modified xsi:type="dcterms:W3CDTF">2026-05-21T10:37:56Z</dcterms:modified>
</cp:coreProperties>
</file>